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K3vin\Documents\KEVIN\Fundamentos de TI\"/>
    </mc:Choice>
  </mc:AlternateContent>
  <xr:revisionPtr revIDLastSave="0" documentId="13_ncr:1_{D707F2EB-032B-4149-9D37-4C1FC9713D3E}" xr6:coauthVersionLast="47" xr6:coauthVersionMax="47" xr10:uidLastSave="{00000000-0000-0000-0000-000000000000}"/>
  <bookViews>
    <workbookView xWindow="-108" yWindow="-108" windowWidth="23256" windowHeight="12576" activeTab="4" xr2:uid="{631D8113-E66E-4372-8E46-241BF5267A52}"/>
  </bookViews>
  <sheets>
    <sheet name="Menu" sheetId="5" r:id="rId1"/>
    <sheet name="Inventario" sheetId="8" r:id="rId2"/>
    <sheet name="Entradas" sheetId="6" r:id="rId3"/>
    <sheet name="Salidas" sheetId="7" r:id="rId4"/>
    <sheet name="Rotacion" sheetId="1" r:id="rId5"/>
    <sheet name="Dato" sheetId="9"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7" l="1"/>
  <c r="E2" i="6"/>
  <c r="B2" i="8"/>
  <c r="C2" i="8"/>
  <c r="D2" i="8"/>
  <c r="E3" i="6"/>
  <c r="B3" i="8"/>
  <c r="C3" i="8"/>
  <c r="D3" i="8"/>
  <c r="E4" i="6"/>
  <c r="B4" i="8"/>
  <c r="C4" i="8"/>
  <c r="D4" i="8"/>
  <c r="E5" i="6"/>
  <c r="B5" i="8"/>
  <c r="C5" i="8"/>
  <c r="D5" i="8"/>
  <c r="E4" i="8" l="1"/>
  <c r="E3" i="8"/>
  <c r="E2" i="8"/>
  <c r="E5" i="8"/>
  <c r="G6" i="9" l="1"/>
  <c r="H6" i="9" l="1"/>
  <c r="D2" i="9"/>
  <c r="B2" i="9"/>
  <c r="B7" i="1"/>
  <c r="D13" i="1" l="1"/>
  <c r="E13" i="1"/>
  <c r="F13" i="1" s="1"/>
  <c r="E14" i="1"/>
  <c r="F14" i="1" s="1"/>
  <c r="D14" i="1"/>
  <c r="D15" i="1"/>
  <c r="E15" i="1"/>
  <c r="F15" i="1" s="1"/>
  <c r="D16" i="1"/>
  <c r="E16" i="1"/>
  <c r="F16" i="1" s="1"/>
  <c r="C2" i="9"/>
</calcChain>
</file>

<file path=xl/sharedStrings.xml><?xml version="1.0" encoding="utf-8"?>
<sst xmlns="http://schemas.openxmlformats.org/spreadsheetml/2006/main" count="48" uniqueCount="32">
  <si>
    <t>FECHA ACTUAL</t>
  </si>
  <si>
    <t>PRODUCTO</t>
  </si>
  <si>
    <t>FECHA DE VENCIMINETO</t>
  </si>
  <si>
    <t>ESTADO</t>
  </si>
  <si>
    <t xml:space="preserve">DIAS VENCIDOS </t>
  </si>
  <si>
    <t>ALERTA</t>
  </si>
  <si>
    <t>Entradas</t>
  </si>
  <si>
    <t>Salidas</t>
  </si>
  <si>
    <t>Codigo</t>
  </si>
  <si>
    <t>Registro de operaciones</t>
  </si>
  <si>
    <t>Codigo:</t>
  </si>
  <si>
    <t>Descripcion:</t>
  </si>
  <si>
    <t>Cantidad:</t>
  </si>
  <si>
    <t>Valor:</t>
  </si>
  <si>
    <t>Fecha:</t>
  </si>
  <si>
    <t>CODIGO</t>
  </si>
  <si>
    <t>DESCRIPCION</t>
  </si>
  <si>
    <t>CANTIDAD</t>
  </si>
  <si>
    <t>COSTO</t>
  </si>
  <si>
    <t>PRECIO VENTA</t>
  </si>
  <si>
    <t>FECHA</t>
  </si>
  <si>
    <t>Descripcion</t>
  </si>
  <si>
    <t>Inventario</t>
  </si>
  <si>
    <t>VALOR</t>
  </si>
  <si>
    <t>NUEVO CODIGO (FORMULA)</t>
  </si>
  <si>
    <t>Caducidad:</t>
  </si>
  <si>
    <t>PIZZA</t>
  </si>
  <si>
    <t>LECHE</t>
  </si>
  <si>
    <t>YOGURT</t>
  </si>
  <si>
    <t>GELATINA</t>
  </si>
  <si>
    <r>
      <rPr>
        <b/>
        <sz val="11"/>
        <color theme="1"/>
        <rFont val="Calibri"/>
        <family val="2"/>
        <scheme val="minor"/>
      </rPr>
      <t>Rotación de producto</t>
    </r>
    <r>
      <rPr>
        <sz val="11"/>
        <color theme="1"/>
        <rFont val="Calibri"/>
        <family val="2"/>
        <scheme val="minor"/>
      </rPr>
      <t xml:space="preserve">
En un libro de excel solucionar el problema de caducidad de los alimentos y la mala gestión, en el libro tendremos la lista completa de los productos que se tienen en la empresa (El producto debe de contar con el nombre del producto al igual que la fecha de caducidad)
Con la fórmula de “hoy” podemos actualizar el libro diariamente y avisar mediante una serie de colores (verde, amarillo, azul y rojo) como se llevara el control</t>
    </r>
  </si>
  <si>
    <r>
      <rPr>
        <sz val="11"/>
        <color rgb="FF00B050"/>
        <rFont val="Calibri"/>
        <family val="2"/>
        <scheme val="minor"/>
      </rPr>
      <t>Verde</t>
    </r>
    <r>
      <rPr>
        <sz val="11"/>
        <color theme="1"/>
        <rFont val="Calibri"/>
        <family val="2"/>
        <scheme val="minor"/>
      </rPr>
      <t xml:space="preserve">: Producto que puede enviarse
</t>
    </r>
    <r>
      <rPr>
        <sz val="11"/>
        <color rgb="FFFFFF00"/>
        <rFont val="Calibri"/>
        <family val="2"/>
        <scheme val="minor"/>
      </rPr>
      <t>Amarillo</t>
    </r>
    <r>
      <rPr>
        <sz val="11"/>
        <color theme="1"/>
        <rFont val="Calibri"/>
        <family val="2"/>
        <scheme val="minor"/>
      </rPr>
      <t xml:space="preserve">: Producto que esta proximo a caducar, revisar y enviarl lo antes posible
</t>
    </r>
    <r>
      <rPr>
        <sz val="11"/>
        <color rgb="FFFF0000"/>
        <rFont val="Calibri"/>
        <family val="2"/>
        <scheme val="minor"/>
      </rPr>
      <t>Rojo</t>
    </r>
    <r>
      <rPr>
        <sz val="11"/>
        <color theme="1"/>
        <rFont val="Calibri"/>
        <family val="2"/>
        <scheme val="minor"/>
      </rPr>
      <t xml:space="preserve">: Producto ya pasado de caducidad y debe ser desechado
</t>
    </r>
    <r>
      <rPr>
        <sz val="11"/>
        <color theme="8" tint="0.59999389629810485"/>
        <rFont val="Calibri"/>
        <family val="2"/>
        <scheme val="minor"/>
      </rPr>
      <t>Azul</t>
    </r>
    <r>
      <rPr>
        <sz val="11"/>
        <color theme="1"/>
        <rFont val="Calibri"/>
        <family val="2"/>
        <scheme val="minor"/>
      </rPr>
      <t>: Producto que vence ese día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</si>
</sst>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quot;$&quot;* #,##0.00_-;_-&quot;$&quot;* &quot;-&quot;??_-;_-@_-"/>
  </numFmts>
  <fonts count="9" x14ac:knownFonts="1">
    <font>
      <sz val="11"/>
      <color theme="1"/>
      <name val="Calibri"/>
      <family val="2"/>
      <scheme val="minor"/>
    </font>
    <font>
      <sz val="11"/>
      <color theme="1"/>
      <name val="Calibri"/>
      <family val="2"/>
      <scheme val="minor"/>
    </font>
    <font>
      <sz val="28"/>
      <name val="Calibri"/>
      <family val="2"/>
      <scheme val="minor"/>
    </font>
    <font>
      <sz val="8"/>
      <name val="Calibri"/>
      <family val="2"/>
      <scheme val="minor"/>
    </font>
    <font>
      <sz val="11"/>
      <color rgb="FFFF0000"/>
      <name val="Calibri"/>
      <family val="2"/>
      <scheme val="minor"/>
    </font>
    <font>
      <b/>
      <sz val="11"/>
      <color theme="1"/>
      <name val="Calibri"/>
      <family val="2"/>
      <scheme val="minor"/>
    </font>
    <font>
      <sz val="11"/>
      <color rgb="FF00B050"/>
      <name val="Calibri"/>
      <family val="2"/>
      <scheme val="minor"/>
    </font>
    <font>
      <sz val="11"/>
      <color rgb="FFFFFF00"/>
      <name val="Calibri"/>
      <family val="2"/>
      <scheme val="minor"/>
    </font>
    <font>
      <sz val="11"/>
      <color theme="8" tint="0.59999389629810485"/>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7"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44" fontId="1" fillId="0" borderId="0" applyFont="0" applyFill="0" applyBorder="0" applyAlignment="0" applyProtection="0"/>
  </cellStyleXfs>
  <cellXfs count="60">
    <xf numFmtId="0" fontId="0" fillId="0" borderId="0" xfId="0"/>
    <xf numFmtId="0" fontId="0" fillId="2" borderId="1" xfId="0" applyFill="1" applyBorder="1"/>
    <xf numFmtId="14" fontId="0" fillId="0" borderId="1" xfId="0" applyNumberFormat="1" applyBorder="1" applyAlignment="1">
      <alignment horizontal="center"/>
    </xf>
    <xf numFmtId="0" fontId="0" fillId="0" borderId="1" xfId="0" applyBorder="1"/>
    <xf numFmtId="0" fontId="0" fillId="0" borderId="0" xfId="0" applyFill="1" applyBorder="1"/>
    <xf numFmtId="14" fontId="0" fillId="0" borderId="0" xfId="0" applyNumberFormat="1" applyFill="1" applyBorder="1" applyAlignment="1">
      <alignment horizontal="center" vertical="center"/>
    </xf>
    <xf numFmtId="0" fontId="0" fillId="0" borderId="0" xfId="0" applyFill="1" applyBorder="1" applyAlignment="1"/>
    <xf numFmtId="0" fontId="0" fillId="0" borderId="0" xfId="0" applyAlignment="1">
      <alignment vertical="center"/>
    </xf>
    <xf numFmtId="0" fontId="0" fillId="0" borderId="0" xfId="0" applyAlignment="1"/>
    <xf numFmtId="0" fontId="0" fillId="0" borderId="2" xfId="0" applyBorder="1"/>
    <xf numFmtId="0" fontId="0" fillId="0" borderId="7" xfId="0" applyBorder="1"/>
    <xf numFmtId="0" fontId="0" fillId="0" borderId="8" xfId="0" applyBorder="1"/>
    <xf numFmtId="0" fontId="0" fillId="0" borderId="3" xfId="0" applyBorder="1"/>
    <xf numFmtId="0" fontId="0" fillId="0" borderId="9" xfId="0" applyBorder="1"/>
    <xf numFmtId="0" fontId="0" fillId="0" borderId="0" xfId="0" applyBorder="1"/>
    <xf numFmtId="0" fontId="0" fillId="0" borderId="0" xfId="0" applyAlignment="1">
      <alignment horizontal="center"/>
    </xf>
    <xf numFmtId="0" fontId="0" fillId="0" borderId="0" xfId="0" applyAlignment="1">
      <alignment horizontal="center" vertical="center"/>
    </xf>
    <xf numFmtId="0" fontId="0" fillId="0" borderId="7" xfId="0" applyBorder="1" applyAlignment="1">
      <alignment horizontal="right"/>
    </xf>
    <xf numFmtId="0" fontId="0" fillId="0" borderId="0" xfId="0" applyBorder="1" applyAlignment="1">
      <alignment horizontal="right"/>
    </xf>
    <xf numFmtId="44" fontId="0" fillId="0" borderId="0" xfId="1" applyFont="1"/>
    <xf numFmtId="14" fontId="0" fillId="0" borderId="0" xfId="0" applyNumberFormat="1"/>
    <xf numFmtId="0" fontId="0" fillId="4" borderId="1" xfId="0" applyFill="1" applyBorder="1" applyAlignment="1">
      <alignment horizontal="right"/>
    </xf>
    <xf numFmtId="44" fontId="0" fillId="4" borderId="1" xfId="1" applyFont="1" applyFill="1" applyBorder="1" applyAlignment="1">
      <alignment horizontal="right"/>
    </xf>
    <xf numFmtId="14" fontId="0" fillId="4" borderId="1" xfId="0" applyNumberFormat="1" applyFill="1" applyBorder="1" applyAlignment="1">
      <alignment horizontal="right"/>
    </xf>
    <xf numFmtId="14" fontId="0" fillId="0" borderId="0" xfId="0" applyNumberFormat="1" applyAlignment="1">
      <alignment horizontal="center"/>
    </xf>
    <xf numFmtId="0" fontId="0" fillId="0" borderId="0" xfId="0" applyAlignment="1">
      <alignment horizontal="right"/>
    </xf>
    <xf numFmtId="14" fontId="0" fillId="0" borderId="0" xfId="0" applyNumberFormat="1" applyAlignment="1">
      <alignment horizontal="right"/>
    </xf>
    <xf numFmtId="44" fontId="0" fillId="0" borderId="0" xfId="1" applyFont="1" applyAlignment="1">
      <alignment horizontal="right"/>
    </xf>
    <xf numFmtId="14" fontId="0" fillId="0" borderId="0" xfId="0" applyNumberFormat="1" applyAlignment="1">
      <alignment horizontal="center" vertical="center"/>
    </xf>
    <xf numFmtId="0" fontId="0" fillId="2" borderId="2" xfId="0" applyFill="1" applyBorder="1"/>
    <xf numFmtId="0" fontId="0" fillId="2" borderId="10" xfId="0" applyFill="1" applyBorder="1"/>
    <xf numFmtId="0" fontId="0" fillId="2" borderId="3" xfId="0" applyFill="1" applyBorder="1"/>
    <xf numFmtId="14" fontId="0" fillId="0" borderId="0" xfId="0" applyNumberFormat="1" applyBorder="1"/>
    <xf numFmtId="14" fontId="0" fillId="2" borderId="10" xfId="0" applyNumberFormat="1" applyFill="1" applyBorder="1"/>
    <xf numFmtId="14" fontId="0" fillId="0" borderId="0" xfId="0" applyNumberFormat="1" applyAlignment="1">
      <alignment vertical="center"/>
    </xf>
    <xf numFmtId="0" fontId="0" fillId="2" borderId="10" xfId="0" applyNumberFormat="1" applyFill="1" applyBorder="1"/>
    <xf numFmtId="0" fontId="0" fillId="0" borderId="0" xfId="0" applyNumberFormat="1" applyBorder="1"/>
    <xf numFmtId="0" fontId="0" fillId="0" borderId="0" xfId="0" applyNumberFormat="1" applyFill="1" applyBorder="1"/>
    <xf numFmtId="0" fontId="0" fillId="0" borderId="0" xfId="0" applyNumberFormat="1"/>
    <xf numFmtId="0" fontId="0" fillId="0" borderId="0" xfId="0" applyNumberFormat="1" applyFill="1" applyBorder="1" applyAlignment="1">
      <alignment horizontal="center"/>
    </xf>
    <xf numFmtId="0" fontId="0" fillId="0" borderId="0" xfId="0" applyBorder="1" applyAlignment="1"/>
    <xf numFmtId="14" fontId="0" fillId="0" borderId="0" xfId="0" applyNumberFormat="1" applyBorder="1" applyAlignment="1"/>
    <xf numFmtId="0" fontId="0" fillId="0" borderId="0" xfId="0" applyFill="1" applyBorder="1" applyAlignment="1">
      <alignment horizontal="center"/>
    </xf>
    <xf numFmtId="0" fontId="0" fillId="2" borderId="1" xfId="0" applyNumberFormat="1" applyFill="1" applyBorder="1"/>
    <xf numFmtId="44" fontId="0" fillId="0" borderId="0" xfId="1" applyFont="1" applyAlignment="1">
      <alignment horizontal="center"/>
    </xf>
    <xf numFmtId="14" fontId="0" fillId="2" borderId="1" xfId="0" applyNumberFormat="1" applyFill="1" applyBorder="1"/>
    <xf numFmtId="0" fontId="0" fillId="0" borderId="1" xfId="0" applyFill="1" applyBorder="1"/>
    <xf numFmtId="14" fontId="0" fillId="0" borderId="1" xfId="0" applyNumberFormat="1" applyFill="1" applyBorder="1" applyAlignment="1">
      <alignment horizontal="center" vertical="center"/>
    </xf>
    <xf numFmtId="0" fontId="0" fillId="0" borderId="1" xfId="0" applyNumberFormat="1" applyFill="1" applyBorder="1" applyAlignment="1">
      <alignment horizontal="center"/>
    </xf>
    <xf numFmtId="0" fontId="0" fillId="0" borderId="0" xfId="0" applyAlignment="1">
      <alignment vertical="top"/>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8" xfId="0" applyFont="1" applyFill="1" applyBorder="1" applyAlignment="1">
      <alignment horizontal="center" vertical="center"/>
    </xf>
    <xf numFmtId="0" fontId="0" fillId="0" borderId="0" xfId="0" applyFont="1" applyAlignment="1">
      <alignment horizontal="left" vertical="top" wrapText="1"/>
    </xf>
    <xf numFmtId="0" fontId="0" fillId="0" borderId="0" xfId="0" applyAlignment="1">
      <alignment horizontal="left" vertical="center" wrapText="1"/>
    </xf>
    <xf numFmtId="0" fontId="0" fillId="0" borderId="0" xfId="0" applyAlignment="1">
      <alignment horizontal="left" vertical="center"/>
    </xf>
    <xf numFmtId="0" fontId="0" fillId="0" borderId="1" xfId="0" applyBorder="1" applyAlignment="1">
      <alignment horizontal="center"/>
    </xf>
  </cellXfs>
  <cellStyles count="2">
    <cellStyle name="Moneda" xfId="1" builtinId="4"/>
    <cellStyle name="Normal" xfId="0" builtinId="0"/>
  </cellStyles>
  <dxfs count="39">
    <dxf>
      <fill>
        <patternFill>
          <bgColor rgb="FF00B050"/>
        </patternFill>
      </fill>
    </dxf>
    <dxf>
      <fill>
        <patternFill>
          <bgColor rgb="FFFFFF00"/>
        </patternFill>
      </fill>
    </dxf>
    <dxf>
      <fill>
        <patternFill>
          <bgColor theme="8" tint="0.59996337778862885"/>
        </patternFill>
      </fill>
    </dxf>
    <dxf>
      <fill>
        <patternFill>
          <bgColor rgb="FFFF0000"/>
        </patternFill>
      </fill>
    </dxf>
    <dxf>
      <fill>
        <patternFill>
          <bgColor rgb="FFFF0000"/>
        </patternFill>
      </fill>
    </dxf>
    <dxf>
      <fill>
        <patternFill>
          <bgColor rgb="FF00B050"/>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dd/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9" tint="0.39997558519241921"/>
        </patternFill>
      </fill>
      <border diagonalUp="0" diagonalDown="0" outline="0">
        <left style="thin">
          <color indexed="64"/>
        </left>
        <right style="thin">
          <color indexed="64"/>
        </right>
        <top/>
        <bottom/>
      </border>
    </dxf>
    <dxf>
      <numFmt numFmtId="19" formatCode="dd/mm/yyyy"/>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right"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Soluci&#243;n%20Proyecto2.xlsx#Salidas!A1" TargetMode="External"/><Relationship Id="rId2" Type="http://schemas.openxmlformats.org/officeDocument/2006/relationships/hyperlink" Target="Soluci&#243;n%20Proyecto2.xlsx#Entradas!A1" TargetMode="External"/><Relationship Id="rId1" Type="http://schemas.openxmlformats.org/officeDocument/2006/relationships/hyperlink" Target="Soluci&#243;n%20Proyecto2.xlsx#Inventario!A1"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Soluci&#243;n%20Proyecto2.xlsx#Menu!A1"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Soluci&#243;n%20Proyecto2.xlsx#Menu!A1"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Soluci&#243;n%20Proyecto2.xlsx#Menu!A1"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Soluci&#243;n%20Proyecto2.xlsx#Menu!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Soluci&#243;n%20Proyecto2.xlsx#Menu!A1" TargetMode="External"/></Relationships>
</file>

<file path=xl/drawings/drawing1.xml><?xml version="1.0" encoding="utf-8"?>
<xdr:wsDr xmlns:xdr="http://schemas.openxmlformats.org/drawingml/2006/spreadsheetDrawing" xmlns:a="http://schemas.openxmlformats.org/drawingml/2006/main">
  <xdr:twoCellAnchor>
    <xdr:from>
      <xdr:col>1</xdr:col>
      <xdr:colOff>14245</xdr:colOff>
      <xdr:row>9</xdr:row>
      <xdr:rowOff>64937</xdr:rowOff>
    </xdr:from>
    <xdr:to>
      <xdr:col>2</xdr:col>
      <xdr:colOff>744415</xdr:colOff>
      <xdr:row>11</xdr:row>
      <xdr:rowOff>70339</xdr:rowOff>
    </xdr:to>
    <xdr:sp macro="[0]!NuevoRegistro" textlink="">
      <xdr:nvSpPr>
        <xdr:cNvPr id="3" name="Rectángulo: biselado 2">
          <a:extLst>
            <a:ext uri="{FF2B5EF4-FFF2-40B4-BE49-F238E27FC236}">
              <a16:creationId xmlns:a16="http://schemas.microsoft.com/office/drawing/2014/main" id="{D114FD9F-F1D2-4185-8A68-1F39E806B773}"/>
            </a:ext>
          </a:extLst>
        </xdr:cNvPr>
        <xdr:cNvSpPr/>
      </xdr:nvSpPr>
      <xdr:spPr>
        <a:xfrm>
          <a:off x="149060" y="1723752"/>
          <a:ext cx="1521478" cy="368818"/>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Nuevo Registro</a:t>
          </a:r>
        </a:p>
      </xdr:txBody>
    </xdr:sp>
    <xdr:clientData/>
  </xdr:twoCellAnchor>
  <xdr:twoCellAnchor>
    <xdr:from>
      <xdr:col>2</xdr:col>
      <xdr:colOff>756139</xdr:colOff>
      <xdr:row>9</xdr:row>
      <xdr:rowOff>64477</xdr:rowOff>
    </xdr:from>
    <xdr:to>
      <xdr:col>2</xdr:col>
      <xdr:colOff>2277617</xdr:colOff>
      <xdr:row>11</xdr:row>
      <xdr:rowOff>69879</xdr:rowOff>
    </xdr:to>
    <xdr:sp macro="[0]!Buscar" textlink="">
      <xdr:nvSpPr>
        <xdr:cNvPr id="7" name="Rectángulo: biselado 6">
          <a:extLst>
            <a:ext uri="{FF2B5EF4-FFF2-40B4-BE49-F238E27FC236}">
              <a16:creationId xmlns:a16="http://schemas.microsoft.com/office/drawing/2014/main" id="{18D98933-0035-4B5E-A34E-380069FA4A3A}"/>
            </a:ext>
          </a:extLst>
        </xdr:cNvPr>
        <xdr:cNvSpPr/>
      </xdr:nvSpPr>
      <xdr:spPr>
        <a:xfrm>
          <a:off x="1682262" y="1723292"/>
          <a:ext cx="1521478" cy="368818"/>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Buscar</a:t>
          </a:r>
        </a:p>
      </xdr:txBody>
    </xdr:sp>
    <xdr:clientData/>
  </xdr:twoCellAnchor>
  <xdr:twoCellAnchor>
    <xdr:from>
      <xdr:col>5</xdr:col>
      <xdr:colOff>234462</xdr:colOff>
      <xdr:row>9</xdr:row>
      <xdr:rowOff>58616</xdr:rowOff>
    </xdr:from>
    <xdr:to>
      <xdr:col>7</xdr:col>
      <xdr:colOff>401925</xdr:colOff>
      <xdr:row>11</xdr:row>
      <xdr:rowOff>64018</xdr:rowOff>
    </xdr:to>
    <xdr:sp macro="[0]!Salidas" textlink="">
      <xdr:nvSpPr>
        <xdr:cNvPr id="9" name="Rectángulo: biselado 8">
          <a:extLst>
            <a:ext uri="{FF2B5EF4-FFF2-40B4-BE49-F238E27FC236}">
              <a16:creationId xmlns:a16="http://schemas.microsoft.com/office/drawing/2014/main" id="{1BED2957-E498-4CF0-B3B9-1286561D51AE}"/>
            </a:ext>
          </a:extLst>
        </xdr:cNvPr>
        <xdr:cNvSpPr/>
      </xdr:nvSpPr>
      <xdr:spPr>
        <a:xfrm>
          <a:off x="4730262" y="1717431"/>
          <a:ext cx="1521478" cy="368818"/>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Salidas</a:t>
          </a:r>
        </a:p>
      </xdr:txBody>
    </xdr:sp>
    <xdr:clientData/>
  </xdr:twoCellAnchor>
  <xdr:twoCellAnchor>
    <xdr:from>
      <xdr:col>7</xdr:col>
      <xdr:colOff>471854</xdr:colOff>
      <xdr:row>0</xdr:row>
      <xdr:rowOff>7620</xdr:rowOff>
    </xdr:from>
    <xdr:to>
      <xdr:col>9</xdr:col>
      <xdr:colOff>410716</xdr:colOff>
      <xdr:row>1</xdr:row>
      <xdr:rowOff>194730</xdr:rowOff>
    </xdr:to>
    <xdr:sp macro="[0]!NuevoCodigo" textlink="">
      <xdr:nvSpPr>
        <xdr:cNvPr id="10" name="Rectángulo: biselado 9">
          <a:extLst>
            <a:ext uri="{FF2B5EF4-FFF2-40B4-BE49-F238E27FC236}">
              <a16:creationId xmlns:a16="http://schemas.microsoft.com/office/drawing/2014/main" id="{3242BE44-C862-4C93-B94A-85530D96102E}"/>
            </a:ext>
          </a:extLst>
        </xdr:cNvPr>
        <xdr:cNvSpPr/>
      </xdr:nvSpPr>
      <xdr:spPr>
        <a:xfrm>
          <a:off x="6331634" y="7620"/>
          <a:ext cx="1523822" cy="36999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Nuevo Codigo</a:t>
          </a:r>
        </a:p>
      </xdr:txBody>
    </xdr:sp>
    <xdr:clientData/>
  </xdr:twoCellAnchor>
  <xdr:twoCellAnchor>
    <xdr:from>
      <xdr:col>7</xdr:col>
      <xdr:colOff>480060</xdr:colOff>
      <xdr:row>2</xdr:row>
      <xdr:rowOff>7620</xdr:rowOff>
    </xdr:from>
    <xdr:to>
      <xdr:col>9</xdr:col>
      <xdr:colOff>417750</xdr:colOff>
      <xdr:row>4</xdr:row>
      <xdr:rowOff>13022</xdr:rowOff>
    </xdr:to>
    <xdr:sp macro="" textlink="">
      <xdr:nvSpPr>
        <xdr:cNvPr id="11" name="Rectángulo: biselado 10">
          <a:hlinkClick xmlns:r="http://schemas.openxmlformats.org/officeDocument/2006/relationships" r:id="rId1"/>
          <a:extLst>
            <a:ext uri="{FF2B5EF4-FFF2-40B4-BE49-F238E27FC236}">
              <a16:creationId xmlns:a16="http://schemas.microsoft.com/office/drawing/2014/main" id="{23EB15DE-186B-44E1-995B-BEC6E2ED7142}"/>
            </a:ext>
          </a:extLst>
        </xdr:cNvPr>
        <xdr:cNvSpPr/>
      </xdr:nvSpPr>
      <xdr:spPr>
        <a:xfrm>
          <a:off x="6339840" y="396240"/>
          <a:ext cx="1522650" cy="37116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Ir a Inventario</a:t>
          </a:r>
        </a:p>
      </xdr:txBody>
    </xdr:sp>
    <xdr:clientData/>
  </xdr:twoCellAnchor>
  <xdr:twoCellAnchor>
    <xdr:from>
      <xdr:col>7</xdr:col>
      <xdr:colOff>480060</xdr:colOff>
      <xdr:row>4</xdr:row>
      <xdr:rowOff>30480</xdr:rowOff>
    </xdr:from>
    <xdr:to>
      <xdr:col>9</xdr:col>
      <xdr:colOff>417750</xdr:colOff>
      <xdr:row>6</xdr:row>
      <xdr:rowOff>35882</xdr:rowOff>
    </xdr:to>
    <xdr:sp macro="" textlink="">
      <xdr:nvSpPr>
        <xdr:cNvPr id="12" name="Rectángulo: biselado 11">
          <a:hlinkClick xmlns:r="http://schemas.openxmlformats.org/officeDocument/2006/relationships" r:id="rId2"/>
          <a:extLst>
            <a:ext uri="{FF2B5EF4-FFF2-40B4-BE49-F238E27FC236}">
              <a16:creationId xmlns:a16="http://schemas.microsoft.com/office/drawing/2014/main" id="{7B0C8A02-8163-4FC2-87F2-A85E8E5222E2}"/>
            </a:ext>
          </a:extLst>
        </xdr:cNvPr>
        <xdr:cNvSpPr/>
      </xdr:nvSpPr>
      <xdr:spPr>
        <a:xfrm>
          <a:off x="6339840" y="784860"/>
          <a:ext cx="1522650" cy="37116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Ir a Entradas</a:t>
          </a:r>
        </a:p>
      </xdr:txBody>
    </xdr:sp>
    <xdr:clientData/>
  </xdr:twoCellAnchor>
  <xdr:twoCellAnchor>
    <xdr:from>
      <xdr:col>7</xdr:col>
      <xdr:colOff>480060</xdr:colOff>
      <xdr:row>6</xdr:row>
      <xdr:rowOff>30480</xdr:rowOff>
    </xdr:from>
    <xdr:to>
      <xdr:col>9</xdr:col>
      <xdr:colOff>417750</xdr:colOff>
      <xdr:row>8</xdr:row>
      <xdr:rowOff>35882</xdr:rowOff>
    </xdr:to>
    <xdr:sp macro="" textlink="">
      <xdr:nvSpPr>
        <xdr:cNvPr id="13" name="Rectángulo: biselado 12">
          <a:hlinkClick xmlns:r="http://schemas.openxmlformats.org/officeDocument/2006/relationships" r:id="rId3"/>
          <a:extLst>
            <a:ext uri="{FF2B5EF4-FFF2-40B4-BE49-F238E27FC236}">
              <a16:creationId xmlns:a16="http://schemas.microsoft.com/office/drawing/2014/main" id="{779DA2C8-47D1-4E33-AE54-6DD11716EFE4}"/>
            </a:ext>
          </a:extLst>
        </xdr:cNvPr>
        <xdr:cNvSpPr/>
      </xdr:nvSpPr>
      <xdr:spPr>
        <a:xfrm>
          <a:off x="6339840" y="1150620"/>
          <a:ext cx="1522650" cy="371162"/>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Ir a Salidas</a:t>
          </a:r>
        </a:p>
        <a:p>
          <a:pPr algn="l"/>
          <a:endParaRPr lang="es-MX" sz="1100"/>
        </a:p>
      </xdr:txBody>
    </xdr:sp>
    <xdr:clientData/>
  </xdr:twoCellAnchor>
  <xdr:twoCellAnchor>
    <xdr:from>
      <xdr:col>2</xdr:col>
      <xdr:colOff>2286000</xdr:colOff>
      <xdr:row>9</xdr:row>
      <xdr:rowOff>60960</xdr:rowOff>
    </xdr:from>
    <xdr:to>
      <xdr:col>5</xdr:col>
      <xdr:colOff>236220</xdr:colOff>
      <xdr:row>11</xdr:row>
      <xdr:rowOff>60960</xdr:rowOff>
    </xdr:to>
    <xdr:sp macro="[0]!Ingresos3" textlink="">
      <xdr:nvSpPr>
        <xdr:cNvPr id="2" name="Rectángulo: biselado 1">
          <a:extLst>
            <a:ext uri="{FF2B5EF4-FFF2-40B4-BE49-F238E27FC236}">
              <a16:creationId xmlns:a16="http://schemas.microsoft.com/office/drawing/2014/main" id="{A4E28DB0-0021-4915-B4EB-8741D733A916}"/>
            </a:ext>
          </a:extLst>
        </xdr:cNvPr>
        <xdr:cNvSpPr/>
      </xdr:nvSpPr>
      <xdr:spPr>
        <a:xfrm>
          <a:off x="3215640" y="1729740"/>
          <a:ext cx="1524000" cy="36576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100"/>
            <a:t>Ingresos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3810</xdr:colOff>
      <xdr:row>0</xdr:row>
      <xdr:rowOff>150495</xdr:rowOff>
    </xdr:to>
    <xdr:sp macro="" textlink="">
      <xdr:nvSpPr>
        <xdr:cNvPr id="3" name="Rectángulo: biselado 2">
          <a:hlinkClick xmlns:r="http://schemas.openxmlformats.org/officeDocument/2006/relationships" r:id="rId1"/>
          <a:extLst>
            <a:ext uri="{FF2B5EF4-FFF2-40B4-BE49-F238E27FC236}">
              <a16:creationId xmlns:a16="http://schemas.microsoft.com/office/drawing/2014/main" id="{1AA6A8AB-5740-48A3-9832-9C369AF0F7B8}"/>
            </a:ext>
          </a:extLst>
        </xdr:cNvPr>
        <xdr:cNvSpPr/>
      </xdr:nvSpPr>
      <xdr:spPr>
        <a:xfrm>
          <a:off x="4739640" y="0"/>
          <a:ext cx="796290" cy="15049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a:t>IR</a:t>
          </a:r>
          <a:r>
            <a:rPr lang="es-MX" sz="900" baseline="0"/>
            <a:t> CONTROL</a:t>
          </a:r>
          <a:endParaRPr lang="es-MX" sz="9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3810</xdr:colOff>
      <xdr:row>0</xdr:row>
      <xdr:rowOff>12383</xdr:rowOff>
    </xdr:from>
    <xdr:to>
      <xdr:col>7</xdr:col>
      <xdr:colOff>9525</xdr:colOff>
      <xdr:row>0</xdr:row>
      <xdr:rowOff>162878</xdr:rowOff>
    </xdr:to>
    <xdr:sp macro="" textlink="">
      <xdr:nvSpPr>
        <xdr:cNvPr id="2" name="Rectángulo: biselado 1">
          <a:hlinkClick xmlns:r="http://schemas.openxmlformats.org/officeDocument/2006/relationships" r:id="rId1"/>
          <a:extLst>
            <a:ext uri="{FF2B5EF4-FFF2-40B4-BE49-F238E27FC236}">
              <a16:creationId xmlns:a16="http://schemas.microsoft.com/office/drawing/2014/main" id="{51037F2B-0790-4BAC-9CCC-79DC17E6A25C}"/>
            </a:ext>
          </a:extLst>
        </xdr:cNvPr>
        <xdr:cNvSpPr/>
      </xdr:nvSpPr>
      <xdr:spPr>
        <a:xfrm>
          <a:off x="5656898" y="12383"/>
          <a:ext cx="796290" cy="15049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a:t>IR</a:t>
          </a:r>
          <a:r>
            <a:rPr lang="es-MX" sz="900" baseline="0"/>
            <a:t> CONTROL</a:t>
          </a:r>
          <a:endParaRPr lang="es-MX" sz="9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3810</xdr:colOff>
      <xdr:row>0</xdr:row>
      <xdr:rowOff>150495</xdr:rowOff>
    </xdr:to>
    <xdr:sp macro="" textlink="">
      <xdr:nvSpPr>
        <xdr:cNvPr id="3" name="Rectángulo: biselado 2">
          <a:hlinkClick xmlns:r="http://schemas.openxmlformats.org/officeDocument/2006/relationships" r:id="rId1"/>
          <a:extLst>
            <a:ext uri="{FF2B5EF4-FFF2-40B4-BE49-F238E27FC236}">
              <a16:creationId xmlns:a16="http://schemas.microsoft.com/office/drawing/2014/main" id="{7951F5A4-2683-48C9-B7C4-2B90E3F4BBFB}"/>
            </a:ext>
          </a:extLst>
        </xdr:cNvPr>
        <xdr:cNvSpPr/>
      </xdr:nvSpPr>
      <xdr:spPr>
        <a:xfrm>
          <a:off x="6021977" y="0"/>
          <a:ext cx="796290" cy="15049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a:t>IR</a:t>
          </a:r>
          <a:r>
            <a:rPr lang="es-MX" sz="900" baseline="0"/>
            <a:t> CONTROL</a:t>
          </a:r>
          <a:endParaRPr lang="es-MX" sz="9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10</xdr:row>
      <xdr:rowOff>15240</xdr:rowOff>
    </xdr:from>
    <xdr:to>
      <xdr:col>7</xdr:col>
      <xdr:colOff>3810</xdr:colOff>
      <xdr:row>10</xdr:row>
      <xdr:rowOff>165735</xdr:rowOff>
    </xdr:to>
    <xdr:sp macro="" textlink="">
      <xdr:nvSpPr>
        <xdr:cNvPr id="3" name="Rectángulo: biselado 2">
          <a:hlinkClick xmlns:r="http://schemas.openxmlformats.org/officeDocument/2006/relationships" r:id="rId1"/>
          <a:extLst>
            <a:ext uri="{FF2B5EF4-FFF2-40B4-BE49-F238E27FC236}">
              <a16:creationId xmlns:a16="http://schemas.microsoft.com/office/drawing/2014/main" id="{D76823F8-0277-40C7-ABBE-686732FC6F91}"/>
            </a:ext>
          </a:extLst>
        </xdr:cNvPr>
        <xdr:cNvSpPr/>
      </xdr:nvSpPr>
      <xdr:spPr>
        <a:xfrm>
          <a:off x="7604760" y="1844040"/>
          <a:ext cx="796290" cy="15049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a:t>IR</a:t>
          </a:r>
          <a:r>
            <a:rPr lang="es-MX" sz="900" baseline="0"/>
            <a:t> CONTROL</a:t>
          </a:r>
          <a:endParaRPr lang="es-MX" sz="900"/>
        </a:p>
      </xdr:txBody>
    </xdr:sp>
    <xdr:clientData/>
  </xdr:twoCellAnchor>
  <xdr:twoCellAnchor editAs="oneCell">
    <xdr:from>
      <xdr:col>2</xdr:col>
      <xdr:colOff>434340</xdr:colOff>
      <xdr:row>0</xdr:row>
      <xdr:rowOff>175260</xdr:rowOff>
    </xdr:from>
    <xdr:to>
      <xdr:col>7</xdr:col>
      <xdr:colOff>0</xdr:colOff>
      <xdr:row>9</xdr:row>
      <xdr:rowOff>13971</xdr:rowOff>
    </xdr:to>
    <xdr:pic>
      <xdr:nvPicPr>
        <xdr:cNvPr id="4" name="Imagen 3">
          <a:extLst>
            <a:ext uri="{FF2B5EF4-FFF2-40B4-BE49-F238E27FC236}">
              <a16:creationId xmlns:a16="http://schemas.microsoft.com/office/drawing/2014/main" id="{3CD8FFE7-FABF-4ED7-9716-C7C4B0BB7CA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00" y="175260"/>
          <a:ext cx="5539740" cy="1484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3810</xdr:colOff>
      <xdr:row>0</xdr:row>
      <xdr:rowOff>150495</xdr:rowOff>
    </xdr:to>
    <xdr:sp macro="" textlink="">
      <xdr:nvSpPr>
        <xdr:cNvPr id="2" name="Rectángulo: biselado 1">
          <a:hlinkClick xmlns:r="http://schemas.openxmlformats.org/officeDocument/2006/relationships" r:id="rId1"/>
          <a:extLst>
            <a:ext uri="{FF2B5EF4-FFF2-40B4-BE49-F238E27FC236}">
              <a16:creationId xmlns:a16="http://schemas.microsoft.com/office/drawing/2014/main" id="{D80D82E0-8EB5-493E-9940-4F4176BB4CA9}"/>
            </a:ext>
          </a:extLst>
        </xdr:cNvPr>
        <xdr:cNvSpPr/>
      </xdr:nvSpPr>
      <xdr:spPr>
        <a:xfrm>
          <a:off x="4754880" y="0"/>
          <a:ext cx="796290" cy="150495"/>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900"/>
            <a:t>IR</a:t>
          </a:r>
          <a:r>
            <a:rPr lang="es-MX" sz="900" baseline="0"/>
            <a:t> CONTROL</a:t>
          </a:r>
          <a:endParaRPr lang="es-MX" sz="9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FFB0B1E-24EE-4656-8B2E-0C49932E7CC3}" name="Tabla10" displayName="Tabla10" ref="A1:E5" totalsRowShown="0" headerRowDxfId="38" dataDxfId="37">
  <autoFilter ref="A1:E5" xr:uid="{8FFB0B1E-24EE-4656-8B2E-0C49932E7CC3}"/>
  <tableColumns count="5">
    <tableColumn id="1" xr3:uid="{B8A707D6-35E8-431A-BA8A-07CFACD57A67}" name="Codigo" dataDxfId="36"/>
    <tableColumn id="2" xr3:uid="{237F7EC5-B462-42B9-8F46-86A1BB73C159}" name="Descripcion" dataDxfId="35">
      <calculatedColumnFormula>IFERROR(VLOOKUP(A2,Entradas!A:C,2,FALSE),"")</calculatedColumnFormula>
    </tableColumn>
    <tableColumn id="3" xr3:uid="{30AEC551-203D-4D22-ACEE-F8F6E1031B68}" name="Entradas" dataDxfId="34">
      <calculatedColumnFormula>SUMIF(Entradas!A:A,A2,Entradas!C:C)</calculatedColumnFormula>
    </tableColumn>
    <tableColumn id="4" xr3:uid="{1C213C1D-54B5-4C41-8E18-47A8A2BAAFE3}" name="Salidas" dataDxfId="33">
      <calculatedColumnFormula>SUMIF(Salidas!A:A,A2,Salidas!C:C)</calculatedColumnFormula>
    </tableColumn>
    <tableColumn id="5" xr3:uid="{FAC66A9D-1FCA-4C72-A654-9B374EC3CF12}" name="Inventario" dataDxfId="32">
      <calculatedColumnFormula>+C2-D2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DD9B465-E394-490C-81AC-139289B48B8A}" name="Tabla9" displayName="Tabla9" ref="A1:F5" totalsRowShown="0" headerRowDxfId="31" dataDxfId="30">
  <autoFilter ref="A1:F5" xr:uid="{BDD9B465-E394-490C-81AC-139289B48B8A}"/>
  <tableColumns count="6">
    <tableColumn id="1" xr3:uid="{0BCBF356-5657-4668-B905-8F4CBAF8A1DB}" name="CODIGO" dataDxfId="29"/>
    <tableColumn id="2" xr3:uid="{457CB6EB-BBA7-4025-9FA5-5038B8D48469}" name="DESCRIPCION" dataDxfId="28"/>
    <tableColumn id="3" xr3:uid="{73AE4F5F-85C0-4426-84CA-1A67ECD3DF0A}" name="CANTIDAD" dataDxfId="27"/>
    <tableColumn id="4" xr3:uid="{C2FB7820-B494-4CAC-8338-0A2C350DDF18}" name="COSTO" dataDxfId="26"/>
    <tableColumn id="5" xr3:uid="{542628CE-8F1E-4E7E-89B3-B610712F7D7C}" name="PRECIO VENTA" dataDxfId="25" dataCellStyle="Moneda">
      <calculatedColumnFormula>+D2/(1-30%)</calculatedColumnFormula>
    </tableColumn>
    <tableColumn id="6" xr3:uid="{ED7CAE4A-4FCE-4DD3-93B4-8C6398986ADF}" name="FECHA"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DBD510B-7141-47E4-8932-497B1D481365}" name="Tabla8" displayName="Tabla8" ref="A1:F2" totalsRowShown="0" headerRowDxfId="23" dataDxfId="22">
  <autoFilter ref="A1:F2" xr:uid="{5DBD510B-7141-47E4-8932-497B1D481365}"/>
  <tableColumns count="6">
    <tableColumn id="1" xr3:uid="{C714584F-9182-45C9-88B2-89F95F0013D2}" name="CODIGO" dataDxfId="21"/>
    <tableColumn id="2" xr3:uid="{AD194325-3A21-4865-A50A-FBDB10C6FDC2}" name="DESCRIPCION" dataDxfId="20"/>
    <tableColumn id="3" xr3:uid="{304F983B-8D05-445C-9712-74DD4C1F0261}" name="CANTIDAD" dataDxfId="19"/>
    <tableColumn id="4" xr3:uid="{1AEBAE87-85F6-424E-A4E6-5307121E801B}" name="COSTO" dataDxfId="18"/>
    <tableColumn id="5" xr3:uid="{2E87A00E-C5B7-4697-A32F-4734714ABCBB}" name="PRECIO VENTA" dataDxfId="17" dataCellStyle="Moneda">
      <calculatedColumnFormula>+D2/(1-30%)</calculatedColumnFormula>
    </tableColumn>
    <tableColumn id="6" xr3:uid="{E33CACD3-DC31-43F5-9418-49EFB72701A8}" name="FECHA" dataDxf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BE5EA3-090C-4B79-99CE-78AE3E65BD8A}" name="Tabla1" displayName="Tabla1" ref="A12:F16" totalsRowShown="0" headerRowDxfId="15" headerRowBorderDxfId="14" tableBorderDxfId="13" totalsRowBorderDxfId="12">
  <autoFilter ref="A12:F16" xr:uid="{60BE5EA3-090C-4B79-99CE-78AE3E65BD8A}"/>
  <tableColumns count="6">
    <tableColumn id="1" xr3:uid="{E996EFDB-40F8-4C73-94B4-7CAA9BE292B5}" name="PRODUCTO" dataDxfId="11"/>
    <tableColumn id="2" xr3:uid="{61B0B3E5-4304-4566-AA34-97D640D65C15}" name="CODIGO" dataDxfId="10"/>
    <tableColumn id="3" xr3:uid="{BA18F1A7-367B-4AC8-96CF-7410DE090338}" name="FECHA DE VENCIMINETO" dataDxfId="9"/>
    <tableColumn id="4" xr3:uid="{520759B4-554C-41A3-90F1-D4D2476DCF0F}" name="ESTADO" dataDxfId="8">
      <calculatedColumnFormula>IF(C13&lt;$B$7,"VENCIDO","VALIDO")</calculatedColumnFormula>
    </tableColumn>
    <tableColumn id="5" xr3:uid="{675AEBF0-8867-499B-BEB8-09901B4C6E5B}" name="DIAS VENCIDOS " dataDxfId="7">
      <calculatedColumnFormula>C13-$B$7</calculatedColumnFormula>
    </tableColumn>
    <tableColumn id="6" xr3:uid="{685C7A9C-1E78-4E64-90C7-2C9C65A64EA8}" name="ALERTA" dataDxfId="6">
      <calculatedColumnFormula>IF(E13&lt;0,"VENCIDO HACE "&amp;E13*-1&amp;" DÍAS",IF(E13=0,"VENCE HOY",IF(E13&lt;4,"LE QUEDAN "&amp;E13&amp;" DÍAS","FALTAN "&amp;E13&amp;" DÍAS")))</calculatedColumnFormula>
    </tableColumn>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33EDA-2A57-4C58-8E6B-338A049D66AC}">
  <sheetPr codeName="Hoja1"/>
  <dimension ref="B1:K9"/>
  <sheetViews>
    <sheetView showGridLines="0" showRowColHeaders="0" zoomScaleNormal="100" workbookViewId="0"/>
  </sheetViews>
  <sheetFormatPr baseColWidth="10" defaultRowHeight="14.4" x14ac:dyDescent="0.3"/>
  <cols>
    <col min="1" max="1" width="2" bestFit="1" customWidth="1"/>
    <col min="3" max="3" width="38.5546875" customWidth="1"/>
    <col min="4" max="4" width="2" bestFit="1" customWidth="1"/>
    <col min="5" max="5" width="11.5546875" customWidth="1"/>
    <col min="6" max="6" width="17.77734375" customWidth="1"/>
    <col min="7" max="7" width="2" bestFit="1" customWidth="1"/>
  </cols>
  <sheetData>
    <row r="1" spans="2:11" x14ac:dyDescent="0.3">
      <c r="B1" s="50" t="s">
        <v>9</v>
      </c>
      <c r="C1" s="51"/>
      <c r="D1" s="51"/>
      <c r="E1" s="51"/>
      <c r="F1" s="51"/>
      <c r="G1" s="52"/>
    </row>
    <row r="2" spans="2:11" ht="16.2" customHeight="1" x14ac:dyDescent="0.3">
      <c r="B2" s="53"/>
      <c r="C2" s="54"/>
      <c r="D2" s="54"/>
      <c r="E2" s="54"/>
      <c r="F2" s="54"/>
      <c r="G2" s="55"/>
    </row>
    <row r="3" spans="2:11" x14ac:dyDescent="0.3">
      <c r="B3" s="10"/>
      <c r="C3" s="14"/>
      <c r="D3" s="14"/>
      <c r="E3" s="14"/>
      <c r="F3" s="14"/>
      <c r="G3" s="11"/>
    </row>
    <row r="4" spans="2:11" x14ac:dyDescent="0.3">
      <c r="B4" s="17" t="s">
        <v>10</v>
      </c>
      <c r="C4" s="21"/>
      <c r="D4" s="14"/>
      <c r="E4" s="18" t="s">
        <v>13</v>
      </c>
      <c r="F4" s="22"/>
      <c r="G4" s="11"/>
    </row>
    <row r="5" spans="2:11" x14ac:dyDescent="0.3">
      <c r="B5" s="10"/>
      <c r="C5" s="14"/>
      <c r="D5" s="14"/>
      <c r="E5" s="14"/>
      <c r="F5" s="14"/>
      <c r="G5" s="11"/>
    </row>
    <row r="6" spans="2:11" x14ac:dyDescent="0.3">
      <c r="B6" s="17" t="s">
        <v>11</v>
      </c>
      <c r="C6" s="21"/>
      <c r="D6" s="14"/>
      <c r="E6" s="18" t="s">
        <v>14</v>
      </c>
      <c r="F6" s="23"/>
      <c r="G6" s="11"/>
      <c r="K6" s="7"/>
    </row>
    <row r="7" spans="2:11" x14ac:dyDescent="0.3">
      <c r="B7" s="10"/>
      <c r="C7" s="14"/>
      <c r="D7" s="14"/>
      <c r="E7" s="14"/>
      <c r="F7" s="14"/>
      <c r="G7" s="11"/>
    </row>
    <row r="8" spans="2:11" x14ac:dyDescent="0.3">
      <c r="B8" s="17" t="s">
        <v>12</v>
      </c>
      <c r="C8" s="21"/>
      <c r="D8" s="14"/>
      <c r="E8" s="18" t="s">
        <v>25</v>
      </c>
      <c r="F8" s="23"/>
      <c r="G8" s="11"/>
    </row>
    <row r="9" spans="2:11" x14ac:dyDescent="0.3">
      <c r="B9" s="12"/>
      <c r="C9" s="13"/>
      <c r="D9" s="13"/>
      <c r="E9" s="13"/>
      <c r="F9" s="13"/>
      <c r="G9" s="9"/>
    </row>
  </sheetData>
  <mergeCells count="1">
    <mergeCell ref="B1:G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88F6B-0770-4027-987A-C20A24D240A3}">
  <sheetPr codeName="Hoja4"/>
  <dimension ref="A1:E5"/>
  <sheetViews>
    <sheetView showGridLines="0" showRowColHeaders="0" topLeftCell="A4" workbookViewId="0">
      <selection activeCell="D33" sqref="D33:D34"/>
    </sheetView>
  </sheetViews>
  <sheetFormatPr baseColWidth="10" defaultRowHeight="14.4" x14ac:dyDescent="0.3"/>
  <cols>
    <col min="1" max="1" width="11.5546875" style="25"/>
    <col min="2" max="2" width="22.88671875" style="25" customWidth="1"/>
    <col min="3" max="3" width="15.44140625" style="25" customWidth="1"/>
    <col min="4" max="4" width="14.88671875" style="25" customWidth="1"/>
    <col min="5" max="5" width="18.21875" style="25" customWidth="1"/>
  </cols>
  <sheetData>
    <row r="1" spans="1:5" x14ac:dyDescent="0.3">
      <c r="A1" s="16" t="s">
        <v>8</v>
      </c>
      <c r="B1" s="16" t="s">
        <v>21</v>
      </c>
      <c r="C1" s="16" t="s">
        <v>6</v>
      </c>
      <c r="D1" s="16" t="s">
        <v>7</v>
      </c>
      <c r="E1" s="16" t="s">
        <v>22</v>
      </c>
    </row>
    <row r="2" spans="1:5" x14ac:dyDescent="0.3">
      <c r="A2" s="16">
        <v>114</v>
      </c>
      <c r="B2" s="16" t="str">
        <f>IFERROR(VLOOKUP(A2,Entradas!A:C,2,FALSE),"")</f>
        <v>GELATINA</v>
      </c>
      <c r="C2" s="16">
        <f>SUMIF(Entradas!A:A,A2,Entradas!C:C)</f>
        <v>50</v>
      </c>
      <c r="D2" s="16">
        <f>SUMIF(Salidas!A:A,A2,Salidas!C:C)</f>
        <v>20</v>
      </c>
      <c r="E2" s="16">
        <f>+C2-D2</f>
        <v>30</v>
      </c>
    </row>
    <row r="3" spans="1:5" x14ac:dyDescent="0.3">
      <c r="A3" s="16">
        <v>113</v>
      </c>
      <c r="B3" s="16" t="str">
        <f>IFERROR(VLOOKUP(A3,Entradas!A:C,2,FALSE),"")</f>
        <v>YOGURT</v>
      </c>
      <c r="C3" s="16">
        <f>SUMIF(Entradas!A:A,A3,Entradas!C:C)</f>
        <v>100</v>
      </c>
      <c r="D3" s="16">
        <f>SUMIF(Salidas!A:A,A3,Salidas!C:C)</f>
        <v>0</v>
      </c>
      <c r="E3" s="16">
        <f>+C3-D3</f>
        <v>100</v>
      </c>
    </row>
    <row r="4" spans="1:5" x14ac:dyDescent="0.3">
      <c r="A4" s="16">
        <v>112</v>
      </c>
      <c r="B4" s="16" t="str">
        <f>IFERROR(VLOOKUP(A4,Entradas!A:C,2,FALSE),"")</f>
        <v>LECHE</v>
      </c>
      <c r="C4" s="16">
        <f>SUMIF(Entradas!A:A,A4,Entradas!C:C)</f>
        <v>10</v>
      </c>
      <c r="D4" s="16">
        <f>SUMIF(Salidas!A:A,A4,Salidas!C:C)</f>
        <v>0</v>
      </c>
      <c r="E4" s="16">
        <f>+C4-D4</f>
        <v>10</v>
      </c>
    </row>
    <row r="5" spans="1:5" x14ac:dyDescent="0.3">
      <c r="A5" s="16">
        <v>111</v>
      </c>
      <c r="B5" s="16" t="str">
        <f>IFERROR(VLOOKUP(A5,Entradas!A:C,2,FALSE),"")</f>
        <v>PIZZA</v>
      </c>
      <c r="C5" s="16">
        <f>SUMIF(Entradas!A:A,A5,Entradas!C:C)</f>
        <v>100</v>
      </c>
      <c r="D5" s="16">
        <f>SUMIF(Salidas!A:A,A5,Salidas!C:C)</f>
        <v>0</v>
      </c>
      <c r="E5" s="16">
        <f>+C5-D5</f>
        <v>100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E54A2-0D24-4D13-BD05-47168EFEFAC3}">
  <sheetPr codeName="Hoja2"/>
  <dimension ref="A1:G5"/>
  <sheetViews>
    <sheetView showGridLines="0" showRowColHeaders="0" zoomScale="160" zoomScaleNormal="160" workbookViewId="0">
      <selection activeCell="E1" sqref="E1:E1048576"/>
    </sheetView>
  </sheetViews>
  <sheetFormatPr baseColWidth="10" defaultRowHeight="14.4" x14ac:dyDescent="0.3"/>
  <cols>
    <col min="1" max="1" width="11.5546875" style="25"/>
    <col min="2" max="2" width="23.21875" style="25" customWidth="1"/>
    <col min="3" max="3" width="14.44140625" style="25" customWidth="1"/>
    <col min="4" max="4" width="11.5546875" style="25"/>
    <col min="5" max="5" width="16.6640625" style="27" customWidth="1"/>
    <col min="6" max="6" width="11.5546875" style="26"/>
    <col min="7" max="7" width="11.5546875" style="25"/>
  </cols>
  <sheetData>
    <row r="1" spans="1:6" x14ac:dyDescent="0.3">
      <c r="A1" s="15" t="s">
        <v>15</v>
      </c>
      <c r="B1" s="15" t="s">
        <v>16</v>
      </c>
      <c r="C1" s="15" t="s">
        <v>17</v>
      </c>
      <c r="D1" s="15" t="s">
        <v>18</v>
      </c>
      <c r="E1" s="44" t="s">
        <v>19</v>
      </c>
      <c r="F1" s="24" t="s">
        <v>20</v>
      </c>
    </row>
    <row r="2" spans="1:6" x14ac:dyDescent="0.3">
      <c r="A2" s="15">
        <v>114</v>
      </c>
      <c r="B2" s="15" t="s">
        <v>29</v>
      </c>
      <c r="C2" s="15">
        <v>50</v>
      </c>
      <c r="D2" s="15">
        <v>12</v>
      </c>
      <c r="E2" s="44">
        <f>+D2/(1-30%)</f>
        <v>17.142857142857142</v>
      </c>
      <c r="F2" s="24">
        <v>44505</v>
      </c>
    </row>
    <row r="3" spans="1:6" x14ac:dyDescent="0.3">
      <c r="A3" s="15">
        <v>113</v>
      </c>
      <c r="B3" s="15" t="s">
        <v>28</v>
      </c>
      <c r="C3" s="15">
        <v>100</v>
      </c>
      <c r="D3" s="15">
        <v>25</v>
      </c>
      <c r="E3" s="44">
        <f>+D3/(1-30%)</f>
        <v>35.714285714285715</v>
      </c>
      <c r="F3" s="24">
        <v>44505</v>
      </c>
    </row>
    <row r="4" spans="1:6" x14ac:dyDescent="0.3">
      <c r="A4" s="15">
        <v>112</v>
      </c>
      <c r="B4" s="15" t="s">
        <v>27</v>
      </c>
      <c r="C4" s="15">
        <v>10</v>
      </c>
      <c r="D4" s="15">
        <v>40</v>
      </c>
      <c r="E4" s="44">
        <f>+D4/(1-30%)</f>
        <v>57.142857142857146</v>
      </c>
      <c r="F4" s="24">
        <v>44505</v>
      </c>
    </row>
    <row r="5" spans="1:6" x14ac:dyDescent="0.3">
      <c r="A5" s="15">
        <v>111</v>
      </c>
      <c r="B5" s="15" t="s">
        <v>26</v>
      </c>
      <c r="C5" s="15">
        <v>100</v>
      </c>
      <c r="D5" s="15">
        <v>11</v>
      </c>
      <c r="E5" s="44">
        <f>+D5/(1-30%)</f>
        <v>15.714285714285715</v>
      </c>
      <c r="F5" s="24">
        <v>44505</v>
      </c>
    </row>
  </sheetData>
  <phoneticPr fontId="3"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B758-169E-4C8E-B967-C684E0A06609}">
  <sheetPr codeName="Hoja3"/>
  <dimension ref="A1:F2"/>
  <sheetViews>
    <sheetView showGridLines="0" showRowColHeaders="0" zoomScale="175" zoomScaleNormal="175" workbookViewId="0">
      <selection activeCell="F2" sqref="F2"/>
    </sheetView>
  </sheetViews>
  <sheetFormatPr baseColWidth="10" defaultRowHeight="14.4" x14ac:dyDescent="0.3"/>
  <cols>
    <col min="1" max="1" width="11.5546875" style="25"/>
    <col min="2" max="2" width="23.21875" style="25" customWidth="1"/>
    <col min="3" max="3" width="12.5546875" style="25" customWidth="1"/>
    <col min="4" max="4" width="11.5546875" style="25"/>
    <col min="5" max="5" width="18.33203125" style="27" customWidth="1"/>
    <col min="6" max="6" width="11.5546875" style="26"/>
  </cols>
  <sheetData>
    <row r="1" spans="1:6" x14ac:dyDescent="0.3">
      <c r="A1" s="15" t="s">
        <v>15</v>
      </c>
      <c r="B1" s="15" t="s">
        <v>16</v>
      </c>
      <c r="C1" s="15" t="s">
        <v>17</v>
      </c>
      <c r="D1" s="15" t="s">
        <v>18</v>
      </c>
      <c r="E1" s="44" t="s">
        <v>19</v>
      </c>
      <c r="F1" s="24" t="s">
        <v>20</v>
      </c>
    </row>
    <row r="2" spans="1:6" x14ac:dyDescent="0.3">
      <c r="A2" s="15">
        <v>114</v>
      </c>
      <c r="B2" s="15" t="s">
        <v>29</v>
      </c>
      <c r="C2" s="15">
        <v>20</v>
      </c>
      <c r="D2" s="15">
        <v>50</v>
      </c>
      <c r="E2" s="44">
        <f>+D2/(1-30%)</f>
        <v>71.428571428571431</v>
      </c>
      <c r="F2" s="24">
        <v>44505</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0BDDD-E913-457D-A6AA-EAA098C9F6CF}">
  <sheetPr codeName="Hoja6"/>
  <dimension ref="A1:R43"/>
  <sheetViews>
    <sheetView showGridLines="0" showRowColHeaders="0" tabSelected="1" workbookViewId="0">
      <selection activeCell="A12" sqref="A12"/>
    </sheetView>
  </sheetViews>
  <sheetFormatPr baseColWidth="10" defaultRowHeight="14.4" x14ac:dyDescent="0.3"/>
  <cols>
    <col min="1" max="1" width="19.5546875" customWidth="1"/>
    <col min="2" max="2" width="15.77734375" customWidth="1"/>
    <col min="3" max="3" width="23.33203125" style="20" customWidth="1"/>
    <col min="4" max="4" width="14.21875" customWidth="1"/>
    <col min="5" max="5" width="14.33203125" style="38" customWidth="1"/>
    <col min="6" max="6" width="23.6640625" customWidth="1"/>
    <col min="8" max="8" width="16.5546875" customWidth="1"/>
    <col min="9" max="9" width="23.21875" customWidth="1"/>
    <col min="18" max="18" width="23" customWidth="1"/>
  </cols>
  <sheetData>
    <row r="1" spans="1:14" x14ac:dyDescent="0.3">
      <c r="A1" s="14"/>
      <c r="B1" s="14"/>
      <c r="C1" s="32"/>
      <c r="D1" s="14"/>
      <c r="E1" s="36"/>
    </row>
    <row r="2" spans="1:14" ht="14.4" customHeight="1" x14ac:dyDescent="0.3">
      <c r="A2" s="14"/>
      <c r="B2" s="14"/>
      <c r="C2" s="32"/>
      <c r="D2" s="14"/>
      <c r="E2" s="37"/>
      <c r="I2" s="56" t="s">
        <v>30</v>
      </c>
      <c r="J2" s="56"/>
      <c r="K2" s="56"/>
      <c r="L2" s="56"/>
    </row>
    <row r="3" spans="1:14" x14ac:dyDescent="0.3">
      <c r="I3" s="56"/>
      <c r="J3" s="56"/>
      <c r="K3" s="56"/>
      <c r="L3" s="56"/>
    </row>
    <row r="4" spans="1:14" x14ac:dyDescent="0.3">
      <c r="I4" s="56"/>
      <c r="J4" s="56"/>
      <c r="K4" s="56"/>
      <c r="L4" s="56"/>
    </row>
    <row r="5" spans="1:14" x14ac:dyDescent="0.3">
      <c r="I5" s="56"/>
      <c r="J5" s="56"/>
      <c r="K5" s="56"/>
      <c r="L5" s="56"/>
    </row>
    <row r="6" spans="1:14" x14ac:dyDescent="0.3">
      <c r="I6" s="56"/>
      <c r="J6" s="56"/>
      <c r="K6" s="56"/>
      <c r="L6" s="56"/>
    </row>
    <row r="7" spans="1:14" x14ac:dyDescent="0.3">
      <c r="A7" s="1" t="s">
        <v>0</v>
      </c>
      <c r="B7" s="2">
        <f ca="1">TODAY()</f>
        <v>44505</v>
      </c>
      <c r="I7" s="56"/>
      <c r="J7" s="56"/>
      <c r="K7" s="56"/>
      <c r="L7" s="56"/>
    </row>
    <row r="8" spans="1:14" x14ac:dyDescent="0.3">
      <c r="I8" s="56"/>
      <c r="J8" s="56"/>
      <c r="K8" s="56"/>
      <c r="L8" s="56"/>
      <c r="M8" s="4"/>
      <c r="N8" s="4"/>
    </row>
    <row r="9" spans="1:14" x14ac:dyDescent="0.3">
      <c r="F9" s="42"/>
      <c r="I9" s="56"/>
      <c r="J9" s="56"/>
      <c r="K9" s="56"/>
      <c r="L9" s="56"/>
      <c r="M9" s="4"/>
      <c r="N9" s="4"/>
    </row>
    <row r="10" spans="1:14" x14ac:dyDescent="0.3">
      <c r="I10" s="56"/>
      <c r="J10" s="56"/>
      <c r="K10" s="56"/>
      <c r="L10" s="56"/>
      <c r="M10" s="6"/>
      <c r="N10" s="6"/>
    </row>
    <row r="11" spans="1:14" x14ac:dyDescent="0.3">
      <c r="B11" s="7"/>
      <c r="C11" s="34"/>
      <c r="D11" s="7"/>
      <c r="I11" s="49"/>
      <c r="J11" s="49"/>
      <c r="K11" s="49"/>
      <c r="L11" s="49"/>
      <c r="M11" s="6"/>
      <c r="N11" s="6"/>
    </row>
    <row r="12" spans="1:14" x14ac:dyDescent="0.3">
      <c r="A12" s="29" t="s">
        <v>1</v>
      </c>
      <c r="B12" s="30" t="s">
        <v>15</v>
      </c>
      <c r="C12" s="33" t="s">
        <v>2</v>
      </c>
      <c r="D12" s="30" t="s">
        <v>3</v>
      </c>
      <c r="E12" s="35" t="s">
        <v>4</v>
      </c>
      <c r="F12" s="31" t="s">
        <v>5</v>
      </c>
      <c r="I12" s="57" t="s">
        <v>31</v>
      </c>
      <c r="J12" s="58"/>
      <c r="K12" s="58"/>
      <c r="L12" s="6"/>
      <c r="M12" s="6"/>
      <c r="N12" s="6"/>
    </row>
    <row r="13" spans="1:14" x14ac:dyDescent="0.3">
      <c r="A13" s="1" t="s">
        <v>29</v>
      </c>
      <c r="B13" s="1">
        <v>114</v>
      </c>
      <c r="C13" s="45">
        <v>44520</v>
      </c>
      <c r="D13" s="1" t="str">
        <f ca="1">IF(C13&lt;$B$7,"VENCIDO","VALIDO")</f>
        <v>VALIDO</v>
      </c>
      <c r="E13" s="43">
        <f ca="1">C13-$B$7</f>
        <v>15</v>
      </c>
      <c r="F13" s="1" t="str">
        <f ca="1">IF(E13&lt;0,"VENCIDO HACE "&amp;E13*-1&amp;" DÍAS",IF(E13=0,"VENCE HOY",IF(E13&lt;4,"LE QUEDAN "&amp;E13&amp;" DÍAS","FALTAN "&amp;E13&amp;" DÍAS")))</f>
        <v>FALTAN 15 DÍAS</v>
      </c>
      <c r="I13" s="58"/>
      <c r="J13" s="58"/>
      <c r="K13" s="58"/>
      <c r="L13" s="6"/>
      <c r="M13" s="6"/>
      <c r="N13" s="6"/>
    </row>
    <row r="14" spans="1:14" x14ac:dyDescent="0.3">
      <c r="A14" s="1" t="s">
        <v>28</v>
      </c>
      <c r="B14" s="1">
        <v>113</v>
      </c>
      <c r="C14" s="45">
        <v>44507</v>
      </c>
      <c r="D14" s="1" t="str">
        <f ca="1">IF(C14&lt;$B$7,"VENCIDO","VALIDO")</f>
        <v>VALIDO</v>
      </c>
      <c r="E14" s="43">
        <f ca="1">C14-$B$7</f>
        <v>2</v>
      </c>
      <c r="F14" s="1" t="str">
        <f ca="1">IF(E14&lt;0,"VENCIDO HACE "&amp;E14*-1&amp;" DÍAS",IF(E14=0,"VENCE HOY",IF(E14&lt;4,"LE QUEDAN "&amp;E14&amp;" DÍAS","FALTAN "&amp;E14&amp;" DÍAS")))</f>
        <v>LE QUEDAN 2 DÍAS</v>
      </c>
      <c r="I14" s="58"/>
      <c r="J14" s="58"/>
      <c r="K14" s="58"/>
      <c r="L14" s="6"/>
      <c r="M14" s="6"/>
      <c r="N14" s="6"/>
    </row>
    <row r="15" spans="1:14" x14ac:dyDescent="0.3">
      <c r="A15" s="1" t="s">
        <v>27</v>
      </c>
      <c r="B15" s="1">
        <v>112</v>
      </c>
      <c r="C15" s="45">
        <v>44503</v>
      </c>
      <c r="D15" s="1" t="str">
        <f ca="1">IF(C15&lt;$B$7,"VENCIDO","VALIDO")</f>
        <v>VENCIDO</v>
      </c>
      <c r="E15" s="43">
        <f ca="1">C15-$B$7</f>
        <v>-2</v>
      </c>
      <c r="F15" s="1" t="str">
        <f ca="1">IF(E15&lt;0,"VENCIDO HACE "&amp;E15*-1&amp;" DÍAS",IF(E15=0,"VENCE HOY",IF(E15&lt;4,"LE QUEDAN "&amp;E15&amp;" DÍAS","FALTAN "&amp;E15&amp;" DÍAS")))</f>
        <v>VENCIDO HACE 2 DÍAS</v>
      </c>
      <c r="I15" s="58"/>
      <c r="J15" s="58"/>
      <c r="K15" s="58"/>
      <c r="L15" s="6"/>
      <c r="M15" s="6"/>
      <c r="N15" s="6"/>
    </row>
    <row r="16" spans="1:14" x14ac:dyDescent="0.3">
      <c r="A16" s="1" t="s">
        <v>26</v>
      </c>
      <c r="B16" s="1">
        <v>111</v>
      </c>
      <c r="C16" s="45">
        <v>44505</v>
      </c>
      <c r="D16" s="1" t="str">
        <f ca="1">IF(C16&lt;$B$7,"VENCIDO","VALIDO")</f>
        <v>VALIDO</v>
      </c>
      <c r="E16" s="43">
        <f ca="1">C16-$B$7</f>
        <v>0</v>
      </c>
      <c r="F16" s="1" t="str">
        <f ca="1">IF(E16&lt;0,"VENCIDO HACE "&amp;E16*-1&amp;" DÍAS",IF(E16=0,"VENCE HOY",IF(E16&lt;4,"LE QUEDAN "&amp;E16&amp;" DÍAS","FALTAN "&amp;E16&amp;" DÍAS")))</f>
        <v>VENCE HOY</v>
      </c>
      <c r="I16" s="58"/>
      <c r="J16" s="58"/>
      <c r="K16" s="58"/>
      <c r="L16" s="6"/>
      <c r="M16" s="6"/>
      <c r="N16" s="6"/>
    </row>
    <row r="17" spans="1:18" x14ac:dyDescent="0.3">
      <c r="A17" s="46"/>
      <c r="B17" s="46"/>
      <c r="C17" s="47"/>
      <c r="D17" s="46"/>
      <c r="E17" s="48"/>
      <c r="F17" s="3"/>
      <c r="I17" s="58"/>
      <c r="J17" s="58"/>
      <c r="K17" s="58"/>
      <c r="L17" s="6"/>
      <c r="M17" s="6"/>
      <c r="N17" s="6"/>
    </row>
    <row r="18" spans="1:18" x14ac:dyDescent="0.3">
      <c r="B18" s="4"/>
      <c r="C18" s="5"/>
      <c r="D18" s="4"/>
      <c r="E18" s="39"/>
      <c r="F18" s="14"/>
      <c r="I18" s="8"/>
    </row>
    <row r="19" spans="1:18" x14ac:dyDescent="0.3">
      <c r="A19" s="4"/>
      <c r="B19" s="4"/>
      <c r="C19" s="5"/>
      <c r="D19" s="4"/>
      <c r="E19" s="39"/>
      <c r="F19" s="14"/>
      <c r="I19" s="8"/>
    </row>
    <row r="20" spans="1:18" x14ac:dyDescent="0.3">
      <c r="A20" s="14"/>
      <c r="B20" s="14"/>
      <c r="C20" s="32"/>
      <c r="D20" s="14"/>
      <c r="E20" s="36"/>
      <c r="F20" s="14"/>
      <c r="I20" s="8"/>
    </row>
    <row r="21" spans="1:18" x14ac:dyDescent="0.3">
      <c r="A21" s="14"/>
      <c r="B21" s="40"/>
      <c r="C21" s="41"/>
      <c r="D21" s="14"/>
      <c r="E21" s="36"/>
      <c r="F21" s="14"/>
      <c r="I21" s="8"/>
    </row>
    <row r="22" spans="1:18" x14ac:dyDescent="0.3">
      <c r="A22" s="14"/>
      <c r="B22" s="40"/>
      <c r="C22" s="41"/>
      <c r="D22" s="14"/>
      <c r="E22" s="36"/>
      <c r="F22" s="14"/>
      <c r="I22" s="14"/>
    </row>
    <row r="23" spans="1:18" x14ac:dyDescent="0.3">
      <c r="A23" s="14"/>
      <c r="B23" s="14"/>
      <c r="C23" s="32"/>
      <c r="D23" s="14"/>
      <c r="E23" s="36"/>
      <c r="F23" s="14"/>
    </row>
    <row r="30" spans="1:18" x14ac:dyDescent="0.3">
      <c r="M30" s="7"/>
    </row>
    <row r="31" spans="1:18" x14ac:dyDescent="0.3">
      <c r="M31" s="4"/>
      <c r="N31" s="4"/>
      <c r="O31" s="4"/>
      <c r="P31" s="4"/>
      <c r="Q31" s="4"/>
      <c r="R31" s="4"/>
    </row>
    <row r="32" spans="1:18" x14ac:dyDescent="0.3">
      <c r="M32" s="4"/>
      <c r="N32" s="4"/>
      <c r="O32" s="4"/>
      <c r="P32" s="4"/>
      <c r="Q32" s="4"/>
      <c r="R32" s="4"/>
    </row>
    <row r="33" spans="7:18" x14ac:dyDescent="0.3">
      <c r="M33" s="4"/>
      <c r="N33" s="4"/>
      <c r="O33" s="5"/>
      <c r="P33" s="4"/>
      <c r="Q33" s="42"/>
    </row>
    <row r="34" spans="7:18" x14ac:dyDescent="0.3">
      <c r="M34" s="4"/>
      <c r="N34" s="4"/>
      <c r="O34" s="5"/>
      <c r="P34" s="4"/>
      <c r="Q34" s="42"/>
      <c r="R34" s="6"/>
    </row>
    <row r="35" spans="7:18" x14ac:dyDescent="0.3">
      <c r="M35" s="4"/>
      <c r="N35" s="4"/>
      <c r="O35" s="5"/>
      <c r="P35" s="4"/>
      <c r="Q35" s="42"/>
      <c r="R35" s="6"/>
    </row>
    <row r="36" spans="7:18" x14ac:dyDescent="0.3">
      <c r="M36" s="4"/>
      <c r="N36" s="4"/>
      <c r="O36" s="5"/>
      <c r="P36" s="4"/>
      <c r="Q36" s="42"/>
      <c r="R36" s="6"/>
    </row>
    <row r="37" spans="7:18" x14ac:dyDescent="0.3">
      <c r="M37" s="4"/>
      <c r="N37" s="4"/>
      <c r="O37" s="5"/>
      <c r="P37" s="4"/>
      <c r="Q37" s="42"/>
      <c r="R37" s="6"/>
    </row>
    <row r="43" spans="7:18" x14ac:dyDescent="0.3">
      <c r="G43" s="4"/>
    </row>
  </sheetData>
  <mergeCells count="2">
    <mergeCell ref="I2:L10"/>
    <mergeCell ref="I12:K17"/>
  </mergeCells>
  <conditionalFormatting sqref="P33:P37 D13:D16">
    <cfRule type="containsText" dxfId="5" priority="23" operator="containsText" text="VALIDO">
      <formula>NOT(ISERROR(SEARCH("VALIDO",D13)))</formula>
    </cfRule>
    <cfRule type="containsText" dxfId="4" priority="24" operator="containsText" text="VENCIDO">
      <formula>NOT(ISERROR(SEARCH("VENCIDO",D13)))</formula>
    </cfRule>
  </conditionalFormatting>
  <conditionalFormatting sqref="F13:F16">
    <cfRule type="expression" dxfId="3" priority="1">
      <formula>$E13&lt;0</formula>
    </cfRule>
    <cfRule type="expression" dxfId="2" priority="2">
      <formula>$E13=0</formula>
    </cfRule>
    <cfRule type="expression" dxfId="1" priority="3">
      <formula>AND($E13&gt;0,$E13&lt;4)</formula>
    </cfRule>
    <cfRule type="expression" dxfId="0" priority="4">
      <formula>$E13&gt;4</formula>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02630-7B0D-42EA-849B-D25EC225DEF2}">
  <sheetPr codeName="Hoja5"/>
  <dimension ref="A1:H6"/>
  <sheetViews>
    <sheetView workbookViewId="0">
      <selection activeCell="H6" sqref="H6"/>
    </sheetView>
  </sheetViews>
  <sheetFormatPr baseColWidth="10" defaultRowHeight="14.4" x14ac:dyDescent="0.3"/>
  <cols>
    <col min="2" max="2" width="23.109375" customWidth="1"/>
    <col min="5" max="5" width="11.5546875" style="20"/>
  </cols>
  <sheetData>
    <row r="1" spans="1:8" x14ac:dyDescent="0.3">
      <c r="A1" s="16" t="s">
        <v>15</v>
      </c>
      <c r="B1" s="16" t="s">
        <v>16</v>
      </c>
      <c r="C1" s="16" t="s">
        <v>17</v>
      </c>
      <c r="D1" s="16" t="s">
        <v>23</v>
      </c>
      <c r="E1" s="28" t="s">
        <v>20</v>
      </c>
    </row>
    <row r="2" spans="1:8" x14ac:dyDescent="0.3">
      <c r="A2">
        <v>112</v>
      </c>
      <c r="B2" t="str">
        <f>IFERROR(VLOOKUP(A2,Inventario!A:E,2,FALSE),"")</f>
        <v>LECHE</v>
      </c>
      <c r="C2">
        <f>IFERROR(VLOOKUP(A2,Inventario!A:E,5),"")</f>
        <v>10</v>
      </c>
      <c r="D2" s="19">
        <f>IFERROR(VLOOKUP(A2,Entradas!A:E,5,FALSE),"")</f>
        <v>57.142857142857146</v>
      </c>
      <c r="E2" s="20">
        <v>44505</v>
      </c>
    </row>
    <row r="5" spans="1:8" x14ac:dyDescent="0.3">
      <c r="G5" s="59" t="s">
        <v>24</v>
      </c>
      <c r="H5" s="59"/>
    </row>
    <row r="6" spans="1:8" x14ac:dyDescent="0.3">
      <c r="G6" s="3">
        <f>MAX(Inventario!A:A)</f>
        <v>114</v>
      </c>
      <c r="H6" s="3">
        <f>+G6+1</f>
        <v>115</v>
      </c>
    </row>
  </sheetData>
  <mergeCells count="1">
    <mergeCell ref="G5:H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Menu</vt:lpstr>
      <vt:lpstr>Inventario</vt:lpstr>
      <vt:lpstr>Entradas</vt:lpstr>
      <vt:lpstr>Salidas</vt:lpstr>
      <vt:lpstr>Rotacion</vt:lpstr>
      <vt:lpstr>Dato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trujillo</dc:creator>
  <cp:lastModifiedBy>kevin trujillo</cp:lastModifiedBy>
  <dcterms:created xsi:type="dcterms:W3CDTF">2021-10-19T18:19:55Z</dcterms:created>
  <dcterms:modified xsi:type="dcterms:W3CDTF">2021-11-05T18:33:36Z</dcterms:modified>
</cp:coreProperties>
</file>